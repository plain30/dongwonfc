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38B2F9D3-E973-43F2-A2B9-8621CAA35B7B}" xr6:coauthVersionLast="47" xr6:coauthVersionMax="47" xr10:uidLastSave="{00000000-0000-0000-0000-000000000000}"/>
  <bookViews>
    <workbookView xWindow="-120" yWindow="-120" windowWidth="29040" windowHeight="15840" xr2:uid="{D2E38606-6579-4072-9426-EEEB66FA015D}"/>
  </bookViews>
  <sheets>
    <sheet name="회비내역" sheetId="1" r:id="rId1"/>
  </sheets>
  <externalReferences>
    <externalReference r:id="rId2"/>
  </externalReferences>
  <definedNames>
    <definedName name="_xlnm._FilterDatabase" localSheetId="0">회비내역!$A$3:$K$79</definedName>
    <definedName name="_xlnm._FilterDatabase" hidden="1">'[1]2020 집행부 및 회원명부'!$A$3:$P$59</definedName>
    <definedName name="_xlnm.Print_Area" localSheetId="0">회비내역!$B$1:$K$79</definedName>
    <definedName name="_xlnm.Print_Area">'[1]2020 집행부 및 회원명부'!$A$1:$O$60</definedName>
    <definedName name="_xlnm.Print_Titles" localSheetId="0">회비내역!$3:$3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4" i="1" l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K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3" i="1"/>
  <c r="K44" i="1"/>
  <c r="K45" i="1"/>
  <c r="K46" i="1"/>
  <c r="K47" i="1"/>
  <c r="K48" i="1"/>
  <c r="K49" i="1"/>
  <c r="K50" i="1"/>
  <c r="K51" i="1"/>
  <c r="K52" i="1"/>
  <c r="K53" i="1"/>
  <c r="K55" i="1"/>
  <c r="K56" i="1"/>
  <c r="K57" i="1"/>
  <c r="K58" i="1"/>
  <c r="K59" i="1"/>
  <c r="K60" i="1"/>
  <c r="K61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C75" i="1"/>
  <c r="J75" i="1" s="1"/>
  <c r="C76" i="1"/>
  <c r="J76" i="1" s="1"/>
  <c r="C77" i="1"/>
  <c r="J77" i="1" s="1"/>
  <c r="C78" i="1"/>
  <c r="J78" i="1" s="1"/>
  <c r="C79" i="1"/>
  <c r="J79" i="1" s="1"/>
</calcChain>
</file>

<file path=xl/sharedStrings.xml><?xml version="1.0" encoding="utf-8"?>
<sst xmlns="http://schemas.openxmlformats.org/spreadsheetml/2006/main" count="521" uniqueCount="164">
  <si>
    <t>성명</t>
  </si>
  <si>
    <t>사동진</t>
  </si>
  <si>
    <t>정민안</t>
  </si>
  <si>
    <t>강형구</t>
  </si>
  <si>
    <t>조건영</t>
    <phoneticPr fontId="4" type="noConversion"/>
  </si>
  <si>
    <t>한재식</t>
  </si>
  <si>
    <t>이성주</t>
  </si>
  <si>
    <t>김동진</t>
  </si>
  <si>
    <t>황종서</t>
  </si>
  <si>
    <t>박상언</t>
  </si>
  <si>
    <t>정의채</t>
  </si>
  <si>
    <t>최영권</t>
  </si>
  <si>
    <t>김병두</t>
  </si>
  <si>
    <t>강신서</t>
  </si>
  <si>
    <t>한옥문</t>
  </si>
  <si>
    <t>최철호</t>
  </si>
  <si>
    <t>이강인</t>
  </si>
  <si>
    <t>정해식</t>
  </si>
  <si>
    <t>송인산</t>
  </si>
  <si>
    <t>주용중</t>
  </si>
  <si>
    <t>이춘발</t>
  </si>
  <si>
    <t>류명선</t>
  </si>
  <si>
    <t>김인철</t>
  </si>
  <si>
    <t>손한진</t>
    <phoneticPr fontId="4" type="noConversion"/>
  </si>
  <si>
    <t>배기한</t>
  </si>
  <si>
    <t>윤재해</t>
  </si>
  <si>
    <t>황해천</t>
  </si>
  <si>
    <t>윤원석</t>
  </si>
  <si>
    <t>김동선</t>
  </si>
  <si>
    <t>조경래</t>
  </si>
  <si>
    <t>박용주</t>
  </si>
  <si>
    <t>윤학순</t>
  </si>
  <si>
    <t>오용대</t>
  </si>
  <si>
    <t>장대걸</t>
  </si>
  <si>
    <t>최종석</t>
  </si>
  <si>
    <t>이래호</t>
  </si>
  <si>
    <t>최복연</t>
  </si>
  <si>
    <t>고경원</t>
  </si>
  <si>
    <t>문성구</t>
  </si>
  <si>
    <t>윤삼봉</t>
  </si>
  <si>
    <t>김범규</t>
  </si>
  <si>
    <t>장남성</t>
  </si>
  <si>
    <t>김기철</t>
  </si>
  <si>
    <t>박성동</t>
  </si>
  <si>
    <t>하민성</t>
  </si>
  <si>
    <t>박길영</t>
  </si>
  <si>
    <t>김대훈</t>
  </si>
  <si>
    <t>오누리</t>
  </si>
  <si>
    <t>최규복</t>
  </si>
  <si>
    <t>김상윤</t>
  </si>
  <si>
    <t>한승진</t>
  </si>
  <si>
    <t>김정희</t>
  </si>
  <si>
    <t>박찬우</t>
  </si>
  <si>
    <t>이순영</t>
  </si>
  <si>
    <t>이상백</t>
  </si>
  <si>
    <t>선경식</t>
  </si>
  <si>
    <t>김민수</t>
  </si>
  <si>
    <t>공유신</t>
  </si>
  <si>
    <t>김혜존</t>
  </si>
  <si>
    <t>박승현</t>
  </si>
  <si>
    <t>최상성</t>
  </si>
  <si>
    <t>황지훈</t>
  </si>
  <si>
    <t>남형욱</t>
  </si>
  <si>
    <t>박승민</t>
  </si>
  <si>
    <t>설준호</t>
  </si>
  <si>
    <t>한승학</t>
  </si>
  <si>
    <t>명재현</t>
  </si>
  <si>
    <t>김상준</t>
  </si>
  <si>
    <t>이승재</t>
  </si>
  <si>
    <t>서형주</t>
  </si>
  <si>
    <t>이두성</t>
  </si>
  <si>
    <t>김태훈</t>
  </si>
  <si>
    <t>남선빈</t>
  </si>
  <si>
    <t>장석현</t>
  </si>
  <si>
    <t>신성현</t>
  </si>
  <si>
    <t>강현우</t>
  </si>
  <si>
    <t>문경빈</t>
  </si>
  <si>
    <t>회원번호</t>
    <phoneticPr fontId="3" type="noConversion"/>
  </si>
  <si>
    <t>001</t>
    <phoneticPr fontId="3" type="noConversion"/>
  </si>
  <si>
    <t>004</t>
    <phoneticPr fontId="3" type="noConversion"/>
  </si>
  <si>
    <t>005</t>
    <phoneticPr fontId="3" type="noConversion"/>
  </si>
  <si>
    <t>006</t>
    <phoneticPr fontId="3" type="noConversion"/>
  </si>
  <si>
    <t>007</t>
    <phoneticPr fontId="3" type="noConversion"/>
  </si>
  <si>
    <t>008</t>
    <phoneticPr fontId="3" type="noConversion"/>
  </si>
  <si>
    <t>009</t>
    <phoneticPr fontId="3" type="noConversion"/>
  </si>
  <si>
    <t>010</t>
    <phoneticPr fontId="3" type="noConversion"/>
  </si>
  <si>
    <t>011</t>
    <phoneticPr fontId="3" type="noConversion"/>
  </si>
  <si>
    <t>012</t>
    <phoneticPr fontId="3" type="noConversion"/>
  </si>
  <si>
    <t>013</t>
    <phoneticPr fontId="3" type="noConversion"/>
  </si>
  <si>
    <t>014</t>
    <phoneticPr fontId="3" type="noConversion"/>
  </si>
  <si>
    <t>015</t>
    <phoneticPr fontId="3" type="noConversion"/>
  </si>
  <si>
    <t>016</t>
    <phoneticPr fontId="3" type="noConversion"/>
  </si>
  <si>
    <t>017</t>
    <phoneticPr fontId="3" type="noConversion"/>
  </si>
  <si>
    <t>003</t>
    <phoneticPr fontId="3" type="noConversion"/>
  </si>
  <si>
    <t>018</t>
    <phoneticPr fontId="3" type="noConversion"/>
  </si>
  <si>
    <t>019</t>
    <phoneticPr fontId="3" type="noConversion"/>
  </si>
  <si>
    <t>020</t>
    <phoneticPr fontId="3" type="noConversion"/>
  </si>
  <si>
    <t>021</t>
    <phoneticPr fontId="3" type="noConversion"/>
  </si>
  <si>
    <t>022</t>
    <phoneticPr fontId="3" type="noConversion"/>
  </si>
  <si>
    <t>023</t>
    <phoneticPr fontId="3" type="noConversion"/>
  </si>
  <si>
    <t>024</t>
    <phoneticPr fontId="3" type="noConversion"/>
  </si>
  <si>
    <t>025</t>
    <phoneticPr fontId="3" type="noConversion"/>
  </si>
  <si>
    <t>026</t>
    <phoneticPr fontId="3" type="noConversion"/>
  </si>
  <si>
    <t>027</t>
    <phoneticPr fontId="3" type="noConversion"/>
  </si>
  <si>
    <t>028</t>
    <phoneticPr fontId="3" type="noConversion"/>
  </si>
  <si>
    <t>029</t>
    <phoneticPr fontId="3" type="noConversion"/>
  </si>
  <si>
    <t>030</t>
    <phoneticPr fontId="3" type="noConversion"/>
  </si>
  <si>
    <t>031</t>
    <phoneticPr fontId="3" type="noConversion"/>
  </si>
  <si>
    <t>033</t>
    <phoneticPr fontId="3" type="noConversion"/>
  </si>
  <si>
    <t>034</t>
    <phoneticPr fontId="3" type="noConversion"/>
  </si>
  <si>
    <t>032</t>
    <phoneticPr fontId="3" type="noConversion"/>
  </si>
  <si>
    <t>035</t>
    <phoneticPr fontId="3" type="noConversion"/>
  </si>
  <si>
    <t>036</t>
    <phoneticPr fontId="3" type="noConversion"/>
  </si>
  <si>
    <t>037</t>
    <phoneticPr fontId="3" type="noConversion"/>
  </si>
  <si>
    <t>039</t>
    <phoneticPr fontId="3" type="noConversion"/>
  </si>
  <si>
    <t>040</t>
    <phoneticPr fontId="3" type="noConversion"/>
  </si>
  <si>
    <t>041</t>
    <phoneticPr fontId="3" type="noConversion"/>
  </si>
  <si>
    <t>042</t>
    <phoneticPr fontId="3" type="noConversion"/>
  </si>
  <si>
    <t>038</t>
    <phoneticPr fontId="3" type="noConversion"/>
  </si>
  <si>
    <t>043</t>
    <phoneticPr fontId="3" type="noConversion"/>
  </si>
  <si>
    <t>044</t>
    <phoneticPr fontId="3" type="noConversion"/>
  </si>
  <si>
    <t>045</t>
    <phoneticPr fontId="3" type="noConversion"/>
  </si>
  <si>
    <t>000</t>
    <phoneticPr fontId="3" type="noConversion"/>
  </si>
  <si>
    <t>046</t>
    <phoneticPr fontId="3" type="noConversion"/>
  </si>
  <si>
    <t>047</t>
    <phoneticPr fontId="3" type="noConversion"/>
  </si>
  <si>
    <t>048</t>
    <phoneticPr fontId="3" type="noConversion"/>
  </si>
  <si>
    <t>049</t>
    <phoneticPr fontId="3" type="noConversion"/>
  </si>
  <si>
    <t>050</t>
    <phoneticPr fontId="3" type="noConversion"/>
  </si>
  <si>
    <t>051</t>
    <phoneticPr fontId="3" type="noConversion"/>
  </si>
  <si>
    <t>052</t>
    <phoneticPr fontId="3" type="noConversion"/>
  </si>
  <si>
    <t>053</t>
    <phoneticPr fontId="3" type="noConversion"/>
  </si>
  <si>
    <t>054</t>
    <phoneticPr fontId="3" type="noConversion"/>
  </si>
  <si>
    <t>055</t>
    <phoneticPr fontId="3" type="noConversion"/>
  </si>
  <si>
    <t>056</t>
    <phoneticPr fontId="3" type="noConversion"/>
  </si>
  <si>
    <t>058</t>
    <phoneticPr fontId="3" type="noConversion"/>
  </si>
  <si>
    <t>059</t>
    <phoneticPr fontId="3" type="noConversion"/>
  </si>
  <si>
    <t>060</t>
    <phoneticPr fontId="3" type="noConversion"/>
  </si>
  <si>
    <t>061</t>
    <phoneticPr fontId="3" type="noConversion"/>
  </si>
  <si>
    <t>062</t>
    <phoneticPr fontId="3" type="noConversion"/>
  </si>
  <si>
    <t>063</t>
    <phoneticPr fontId="3" type="noConversion"/>
  </si>
  <si>
    <t>064</t>
    <phoneticPr fontId="3" type="noConversion"/>
  </si>
  <si>
    <t>065</t>
    <phoneticPr fontId="3" type="noConversion"/>
  </si>
  <si>
    <t>066</t>
    <phoneticPr fontId="3" type="noConversion"/>
  </si>
  <si>
    <t>067</t>
    <phoneticPr fontId="3" type="noConversion"/>
  </si>
  <si>
    <t>068</t>
    <phoneticPr fontId="3" type="noConversion"/>
  </si>
  <si>
    <t>069</t>
    <phoneticPr fontId="3" type="noConversion"/>
  </si>
  <si>
    <t>070</t>
    <phoneticPr fontId="3" type="noConversion"/>
  </si>
  <si>
    <t>071</t>
    <phoneticPr fontId="3" type="noConversion"/>
  </si>
  <si>
    <t>002</t>
    <phoneticPr fontId="3" type="noConversion"/>
  </si>
  <si>
    <t>057</t>
    <phoneticPr fontId="3" type="noConversion"/>
  </si>
  <si>
    <t>장남성 회원 모친상</t>
    <phoneticPr fontId="4" type="noConversion"/>
  </si>
  <si>
    <t>김기철 회원 모친상</t>
    <phoneticPr fontId="4" type="noConversion"/>
  </si>
  <si>
    <t>김대훈 회원 결혼</t>
    <phoneticPr fontId="4" type="noConversion"/>
  </si>
  <si>
    <t>박상언 회원 부친상</t>
    <phoneticPr fontId="4" type="noConversion"/>
  </si>
  <si>
    <t>정민안 상위 빙모상</t>
    <phoneticPr fontId="4" type="noConversion"/>
  </si>
  <si>
    <t>이강인 고문 자녀결혼</t>
    <phoneticPr fontId="4" type="noConversion"/>
  </si>
  <si>
    <t>윤삼봉 회원 자녀결혼</t>
    <phoneticPr fontId="4" type="noConversion"/>
  </si>
  <si>
    <t>-</t>
  </si>
  <si>
    <t>특별회비 합계</t>
    <phoneticPr fontId="3" type="noConversion"/>
  </si>
  <si>
    <t>납부금액</t>
    <phoneticPr fontId="3" type="noConversion"/>
  </si>
  <si>
    <t>경조사일자</t>
    <phoneticPr fontId="3" type="noConversion"/>
  </si>
  <si>
    <t>경조사내용</t>
    <phoneticPr fontId="3" type="noConversion"/>
  </si>
  <si>
    <t>본인경조사</t>
  </si>
  <si>
    <t>남은금액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</si>
</sst>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6" x14ac:knownFonts="1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4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 shrinkToFit="1"/>
    </xf>
    <xf numFmtId="0" fontId="2" fillId="5" borderId="1" xfId="0" applyFont="1" applyFill="1" applyBorder="1" applyAlignment="1">
      <alignment horizontal="center" vertical="center" shrinkToFit="1"/>
    </xf>
    <xf numFmtId="0" fontId="2" fillId="5" borderId="2" xfId="0" applyFont="1" applyFill="1" applyBorder="1" applyAlignment="1">
      <alignment horizontal="center" vertical="center" shrinkToFit="1"/>
    </xf>
    <xf numFmtId="41" fontId="2" fillId="0" borderId="1" xfId="0" applyNumberFormat="1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4" fontId="2" fillId="5" borderId="0" xfId="0" applyNumberFormat="1" applyFont="1" applyFill="1" applyBorder="1" applyAlignment="1">
      <alignment horizontal="center" vertical="center" shrinkToFit="1"/>
    </xf>
    <xf numFmtId="0" fontId="2" fillId="5" borderId="0" xfId="0" applyFont="1" applyFill="1" applyBorder="1" applyAlignment="1">
      <alignment horizontal="center" vertical="center" shrinkToFit="1"/>
    </xf>
  </cellXfs>
  <cellStyles count="5">
    <cellStyle name="쉼표 [0] 2" xfId="4" xr:uid="{557E6937-599D-40E4-B262-E3AF835DA7FA}"/>
    <cellStyle name="통화 [0] 2" xfId="3" xr:uid="{D47D0FE2-040B-41D7-AF73-54B37F5A2CC8}"/>
    <cellStyle name="표준" xfId="0" builtinId="0"/>
    <cellStyle name="표준 4" xfId="2" xr:uid="{A2490917-E1A6-4118-97E4-7D4974FD03EF}"/>
    <cellStyle name="표준 5" xfId="1" xr:uid="{0976C867-EA14-4BE9-981B-E542CF693A1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&#50724;&#45572;&#47532;\Desktop\2019-2020%20&#46041;&#50896;%20&#51109;&#48512;\01.%202020&#45380;%20&#46041;&#50896;FC%20&#50976;&#45768;&#54268;%20&#45800;&#52404;&#48373;(&#49688;&#51221;%20r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0 집행부 및 회원명부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7DE1-DCD9-4EF3-AE87-C7F11CF9B0CD}">
  <dimension ref="A1:K79"/>
  <sheetViews>
    <sheetView showGridLines="0" tabSelected="1" view="pageBreakPreview" zoomScaleNormal="100" zoomScaleSheetLayoutView="100" workbookViewId="0">
      <pane xSplit="1" ySplit="3" topLeftCell="B4" activePane="bottomRight" state="frozen"/>
      <selection pane="topRight" activeCell="F1" sqref="F1"/>
      <selection pane="bottomLeft" activeCell="A3" sqref="A3"/>
      <selection pane="bottomRight" activeCell="K42" sqref="K42"/>
    </sheetView>
  </sheetViews>
  <sheetFormatPr defaultColWidth="9" defaultRowHeight="13.5" x14ac:dyDescent="0.3"/>
  <cols>
    <col min="1" max="1" width="10.75" style="1" customWidth="1"/>
    <col min="2" max="3" width="12" style="5" bestFit="1" customWidth="1"/>
    <col min="4" max="10" width="12.75" style="1" customWidth="1"/>
    <col min="11" max="11" width="16.125" style="5" bestFit="1" customWidth="1"/>
    <col min="12" max="16384" width="9" style="1"/>
  </cols>
  <sheetData>
    <row r="1" spans="1:11" x14ac:dyDescent="0.3">
      <c r="B1" s="5" t="s">
        <v>160</v>
      </c>
      <c r="C1" s="14">
        <v>45963</v>
      </c>
      <c r="D1" s="14">
        <v>45981</v>
      </c>
      <c r="E1" s="14">
        <v>46011</v>
      </c>
      <c r="F1" s="14">
        <v>46075</v>
      </c>
      <c r="G1" s="14">
        <v>46090</v>
      </c>
      <c r="H1" s="14">
        <v>46110</v>
      </c>
      <c r="I1" s="14">
        <v>46151</v>
      </c>
      <c r="J1" s="19"/>
    </row>
    <row r="2" spans="1:11" x14ac:dyDescent="0.3">
      <c r="B2" s="5" t="s">
        <v>161</v>
      </c>
      <c r="C2" s="15" t="s">
        <v>150</v>
      </c>
      <c r="D2" s="15" t="s">
        <v>151</v>
      </c>
      <c r="E2" s="15" t="s">
        <v>152</v>
      </c>
      <c r="F2" s="15" t="s">
        <v>153</v>
      </c>
      <c r="G2" s="15" t="s">
        <v>154</v>
      </c>
      <c r="H2" s="15" t="s">
        <v>155</v>
      </c>
      <c r="I2" s="16" t="s">
        <v>156</v>
      </c>
      <c r="J2" s="20"/>
      <c r="K2" s="5">
        <f>7*10000</f>
        <v>70000</v>
      </c>
    </row>
    <row r="3" spans="1:11" ht="20.100000000000001" customHeight="1" x14ac:dyDescent="0.3">
      <c r="A3" s="6" t="s">
        <v>0</v>
      </c>
      <c r="B3" s="2" t="s">
        <v>77</v>
      </c>
      <c r="C3" s="2" t="s">
        <v>159</v>
      </c>
      <c r="D3" s="2" t="s">
        <v>159</v>
      </c>
      <c r="E3" s="2" t="s">
        <v>159</v>
      </c>
      <c r="F3" s="2" t="s">
        <v>159</v>
      </c>
      <c r="G3" s="2" t="s">
        <v>159</v>
      </c>
      <c r="H3" s="2" t="s">
        <v>159</v>
      </c>
      <c r="I3" s="2" t="s">
        <v>159</v>
      </c>
      <c r="J3" s="2" t="s">
        <v>163</v>
      </c>
      <c r="K3" s="2" t="s">
        <v>158</v>
      </c>
    </row>
    <row r="4" spans="1:11" ht="20.100000000000001" customHeight="1" x14ac:dyDescent="0.3">
      <c r="A4" s="3" t="s">
        <v>1</v>
      </c>
      <c r="B4" s="7" t="s">
        <v>118</v>
      </c>
      <c r="C4" s="17" t="s">
        <v>157</v>
      </c>
      <c r="D4" s="11" t="s">
        <v>157</v>
      </c>
      <c r="E4" s="11" t="s">
        <v>157</v>
      </c>
      <c r="F4" s="11" t="s">
        <v>157</v>
      </c>
      <c r="G4" s="11" t="s">
        <v>157</v>
      </c>
      <c r="H4" s="11" t="s">
        <v>157</v>
      </c>
      <c r="I4" s="11" t="s">
        <v>157</v>
      </c>
      <c r="J4" s="17">
        <f>K4-SUM(C4:I4)</f>
        <v>70000</v>
      </c>
      <c r="K4" s="13">
        <f>$K$2</f>
        <v>70000</v>
      </c>
    </row>
    <row r="5" spans="1:11" ht="20.100000000000001" customHeight="1" x14ac:dyDescent="0.3">
      <c r="A5" s="3" t="s">
        <v>2</v>
      </c>
      <c r="B5" s="7" t="s">
        <v>149</v>
      </c>
      <c r="C5" s="17" t="s">
        <v>157</v>
      </c>
      <c r="D5" s="11">
        <v>10000</v>
      </c>
      <c r="E5" s="11">
        <v>10000</v>
      </c>
      <c r="F5" s="11">
        <v>10000</v>
      </c>
      <c r="G5" s="11" t="s">
        <v>162</v>
      </c>
      <c r="H5" s="11">
        <v>10000</v>
      </c>
      <c r="I5" s="11">
        <v>10000</v>
      </c>
      <c r="J5" s="17">
        <f t="shared" ref="J5:J68" si="0">K5-SUM(C5:I5)</f>
        <v>20000</v>
      </c>
      <c r="K5" s="13">
        <f t="shared" ref="K5:K68" si="1">$K$2</f>
        <v>70000</v>
      </c>
    </row>
    <row r="6" spans="1:11" ht="20.100000000000001" customHeight="1" x14ac:dyDescent="0.3">
      <c r="A6" s="8" t="s">
        <v>3</v>
      </c>
      <c r="B6" s="7" t="s">
        <v>111</v>
      </c>
      <c r="C6" s="17" t="s">
        <v>157</v>
      </c>
      <c r="D6" s="11">
        <v>10000</v>
      </c>
      <c r="E6" s="11">
        <v>10000</v>
      </c>
      <c r="F6" s="11">
        <v>10000</v>
      </c>
      <c r="G6" s="11">
        <v>10000</v>
      </c>
      <c r="H6" s="11">
        <v>10000</v>
      </c>
      <c r="I6" s="11">
        <v>10000</v>
      </c>
      <c r="J6" s="17">
        <f t="shared" si="0"/>
        <v>10000</v>
      </c>
      <c r="K6" s="13">
        <f t="shared" si="1"/>
        <v>70000</v>
      </c>
    </row>
    <row r="7" spans="1:11" ht="20.100000000000001" customHeight="1" x14ac:dyDescent="0.3">
      <c r="A7" s="3" t="s">
        <v>5</v>
      </c>
      <c r="B7" s="7" t="s">
        <v>78</v>
      </c>
      <c r="C7" s="17">
        <v>10000</v>
      </c>
      <c r="D7" s="11" t="s">
        <v>157</v>
      </c>
      <c r="E7" s="11" t="s">
        <v>157</v>
      </c>
      <c r="F7" s="11" t="s">
        <v>157</v>
      </c>
      <c r="G7" s="11" t="s">
        <v>157</v>
      </c>
      <c r="H7" s="11" t="s">
        <v>157</v>
      </c>
      <c r="I7" s="11" t="s">
        <v>157</v>
      </c>
      <c r="J7" s="17">
        <f t="shared" si="0"/>
        <v>60000</v>
      </c>
      <c r="K7" s="13">
        <f t="shared" si="1"/>
        <v>70000</v>
      </c>
    </row>
    <row r="8" spans="1:11" ht="20.100000000000001" customHeight="1" x14ac:dyDescent="0.3">
      <c r="A8" s="3" t="s">
        <v>6</v>
      </c>
      <c r="B8" s="7" t="s">
        <v>148</v>
      </c>
      <c r="C8" s="17" t="s">
        <v>157</v>
      </c>
      <c r="D8" s="11" t="s">
        <v>157</v>
      </c>
      <c r="E8" s="11" t="s">
        <v>157</v>
      </c>
      <c r="F8" s="11" t="s">
        <v>157</v>
      </c>
      <c r="G8" s="11" t="s">
        <v>157</v>
      </c>
      <c r="H8" s="11" t="s">
        <v>157</v>
      </c>
      <c r="I8" s="11" t="s">
        <v>157</v>
      </c>
      <c r="J8" s="17">
        <f t="shared" si="0"/>
        <v>70000</v>
      </c>
      <c r="K8" s="13">
        <f t="shared" si="1"/>
        <v>70000</v>
      </c>
    </row>
    <row r="9" spans="1:11" ht="20.100000000000001" customHeight="1" x14ac:dyDescent="0.3">
      <c r="A9" s="3" t="s">
        <v>7</v>
      </c>
      <c r="B9" s="7" t="s">
        <v>94</v>
      </c>
      <c r="C9" s="17" t="s">
        <v>157</v>
      </c>
      <c r="D9" s="11">
        <v>10000</v>
      </c>
      <c r="E9" s="11">
        <v>10000</v>
      </c>
      <c r="F9" s="11">
        <v>10000</v>
      </c>
      <c r="G9" s="11">
        <v>10000</v>
      </c>
      <c r="H9" s="11" t="s">
        <v>157</v>
      </c>
      <c r="I9" s="11" t="s">
        <v>157</v>
      </c>
      <c r="J9" s="17">
        <f t="shared" si="0"/>
        <v>30000</v>
      </c>
      <c r="K9" s="13">
        <f t="shared" si="1"/>
        <v>70000</v>
      </c>
    </row>
    <row r="10" spans="1:11" ht="20.100000000000001" customHeight="1" x14ac:dyDescent="0.3">
      <c r="A10" s="8" t="s">
        <v>8</v>
      </c>
      <c r="B10" s="7" t="s">
        <v>93</v>
      </c>
      <c r="C10" s="17" t="s">
        <v>157</v>
      </c>
      <c r="D10" s="11" t="s">
        <v>157</v>
      </c>
      <c r="E10" s="11" t="s">
        <v>157</v>
      </c>
      <c r="F10" s="11" t="s">
        <v>157</v>
      </c>
      <c r="G10" s="11" t="s">
        <v>157</v>
      </c>
      <c r="H10" s="11" t="s">
        <v>157</v>
      </c>
      <c r="I10" s="11" t="s">
        <v>157</v>
      </c>
      <c r="J10" s="17">
        <f t="shared" si="0"/>
        <v>70000</v>
      </c>
      <c r="K10" s="13">
        <f t="shared" si="1"/>
        <v>70000</v>
      </c>
    </row>
    <row r="11" spans="1:11" ht="20.100000000000001" customHeight="1" x14ac:dyDescent="0.3">
      <c r="A11" s="8" t="s">
        <v>9</v>
      </c>
      <c r="B11" s="7" t="s">
        <v>95</v>
      </c>
      <c r="C11" s="17" t="s">
        <v>157</v>
      </c>
      <c r="D11" s="11" t="s">
        <v>157</v>
      </c>
      <c r="E11" s="11" t="s">
        <v>157</v>
      </c>
      <c r="F11" s="11" t="s">
        <v>162</v>
      </c>
      <c r="G11" s="11" t="s">
        <v>157</v>
      </c>
      <c r="H11" s="11" t="s">
        <v>157</v>
      </c>
      <c r="I11" s="11" t="s">
        <v>157</v>
      </c>
      <c r="J11" s="17">
        <f t="shared" si="0"/>
        <v>70000</v>
      </c>
      <c r="K11" s="13">
        <f t="shared" si="1"/>
        <v>70000</v>
      </c>
    </row>
    <row r="12" spans="1:11" ht="20.100000000000001" customHeight="1" x14ac:dyDescent="0.3">
      <c r="A12" s="8" t="s">
        <v>10</v>
      </c>
      <c r="B12" s="7" t="s">
        <v>96</v>
      </c>
      <c r="C12" s="17" t="s">
        <v>157</v>
      </c>
      <c r="D12" s="11" t="s">
        <v>157</v>
      </c>
      <c r="E12" s="11" t="s">
        <v>157</v>
      </c>
      <c r="F12" s="11" t="s">
        <v>157</v>
      </c>
      <c r="G12" s="11" t="s">
        <v>157</v>
      </c>
      <c r="H12" s="11" t="s">
        <v>157</v>
      </c>
      <c r="I12" s="11" t="s">
        <v>157</v>
      </c>
      <c r="J12" s="17">
        <f t="shared" si="0"/>
        <v>70000</v>
      </c>
      <c r="K12" s="13">
        <f t="shared" si="1"/>
        <v>70000</v>
      </c>
    </row>
    <row r="13" spans="1:11" ht="20.100000000000001" customHeight="1" x14ac:dyDescent="0.3">
      <c r="A13" s="8" t="s">
        <v>11</v>
      </c>
      <c r="B13" s="7" t="s">
        <v>116</v>
      </c>
      <c r="C13" s="17">
        <v>10000</v>
      </c>
      <c r="D13" s="11" t="s">
        <v>157</v>
      </c>
      <c r="E13" s="11" t="s">
        <v>157</v>
      </c>
      <c r="F13" s="11" t="s">
        <v>157</v>
      </c>
      <c r="G13" s="11" t="s">
        <v>157</v>
      </c>
      <c r="H13" s="11" t="s">
        <v>157</v>
      </c>
      <c r="I13" s="11" t="s">
        <v>157</v>
      </c>
      <c r="J13" s="17">
        <f t="shared" si="0"/>
        <v>60000</v>
      </c>
      <c r="K13" s="13">
        <f t="shared" si="1"/>
        <v>70000</v>
      </c>
    </row>
    <row r="14" spans="1:11" ht="20.100000000000001" customHeight="1" x14ac:dyDescent="0.3">
      <c r="A14" s="3" t="s">
        <v>12</v>
      </c>
      <c r="B14" s="7" t="s">
        <v>138</v>
      </c>
      <c r="C14" s="17" t="s">
        <v>157</v>
      </c>
      <c r="D14" s="11">
        <v>10000</v>
      </c>
      <c r="E14" s="11">
        <v>10000</v>
      </c>
      <c r="F14" s="11">
        <v>10000</v>
      </c>
      <c r="G14" s="11">
        <v>10000</v>
      </c>
      <c r="H14" s="11">
        <v>10000</v>
      </c>
      <c r="I14" s="11">
        <v>10000</v>
      </c>
      <c r="J14" s="17">
        <f t="shared" si="0"/>
        <v>10000</v>
      </c>
      <c r="K14" s="13">
        <f t="shared" si="1"/>
        <v>70000</v>
      </c>
    </row>
    <row r="15" spans="1:11" ht="20.100000000000001" customHeight="1" x14ac:dyDescent="0.3">
      <c r="A15" s="3" t="s">
        <v>13</v>
      </c>
      <c r="B15" s="7" t="s">
        <v>137</v>
      </c>
      <c r="C15" s="17" t="s">
        <v>157</v>
      </c>
      <c r="D15" s="11" t="s">
        <v>157</v>
      </c>
      <c r="E15" s="11" t="s">
        <v>157</v>
      </c>
      <c r="F15" s="11" t="s">
        <v>157</v>
      </c>
      <c r="G15" s="11" t="s">
        <v>157</v>
      </c>
      <c r="H15" s="11" t="s">
        <v>157</v>
      </c>
      <c r="I15" s="11" t="s">
        <v>157</v>
      </c>
      <c r="J15" s="17">
        <f t="shared" si="0"/>
        <v>70000</v>
      </c>
      <c r="K15" s="13">
        <f t="shared" si="1"/>
        <v>70000</v>
      </c>
    </row>
    <row r="16" spans="1:11" ht="20.100000000000001" customHeight="1" x14ac:dyDescent="0.3">
      <c r="A16" s="3" t="s">
        <v>14</v>
      </c>
      <c r="B16" s="7" t="s">
        <v>136</v>
      </c>
      <c r="C16" s="17" t="s">
        <v>157</v>
      </c>
      <c r="D16" s="11" t="s">
        <v>157</v>
      </c>
      <c r="E16" s="11" t="s">
        <v>157</v>
      </c>
      <c r="F16" s="11" t="s">
        <v>157</v>
      </c>
      <c r="G16" s="11" t="s">
        <v>157</v>
      </c>
      <c r="H16" s="11" t="s">
        <v>157</v>
      </c>
      <c r="I16" s="11" t="s">
        <v>157</v>
      </c>
      <c r="J16" s="17">
        <f t="shared" si="0"/>
        <v>70000</v>
      </c>
      <c r="K16" s="13">
        <f t="shared" si="1"/>
        <v>70000</v>
      </c>
    </row>
    <row r="17" spans="1:11" ht="20.100000000000001" customHeight="1" x14ac:dyDescent="0.3">
      <c r="A17" s="3" t="s">
        <v>15</v>
      </c>
      <c r="B17" s="7" t="s">
        <v>146</v>
      </c>
      <c r="C17" s="17" t="s">
        <v>157</v>
      </c>
      <c r="D17" s="11" t="s">
        <v>157</v>
      </c>
      <c r="E17" s="11" t="s">
        <v>157</v>
      </c>
      <c r="F17" s="11" t="s">
        <v>157</v>
      </c>
      <c r="G17" s="11" t="s">
        <v>157</v>
      </c>
      <c r="H17" s="11" t="s">
        <v>157</v>
      </c>
      <c r="I17" s="11" t="s">
        <v>157</v>
      </c>
      <c r="J17" s="17">
        <f t="shared" si="0"/>
        <v>70000</v>
      </c>
      <c r="K17" s="13">
        <f t="shared" si="1"/>
        <v>70000</v>
      </c>
    </row>
    <row r="18" spans="1:11" ht="20.100000000000001" customHeight="1" x14ac:dyDescent="0.3">
      <c r="A18" s="3" t="s">
        <v>16</v>
      </c>
      <c r="B18" s="7" t="s">
        <v>142</v>
      </c>
      <c r="C18" s="17">
        <v>10000</v>
      </c>
      <c r="D18" s="11">
        <v>10000</v>
      </c>
      <c r="E18" s="11">
        <v>10000</v>
      </c>
      <c r="F18" s="11">
        <v>10000</v>
      </c>
      <c r="G18" s="11">
        <v>10000</v>
      </c>
      <c r="H18" s="11">
        <v>10000</v>
      </c>
      <c r="I18" s="11">
        <v>10000</v>
      </c>
      <c r="J18" s="17">
        <f t="shared" si="0"/>
        <v>0</v>
      </c>
      <c r="K18" s="13">
        <f t="shared" si="1"/>
        <v>70000</v>
      </c>
    </row>
    <row r="19" spans="1:11" ht="20.100000000000001" customHeight="1" x14ac:dyDescent="0.3">
      <c r="A19" s="3" t="s">
        <v>17</v>
      </c>
      <c r="B19" s="7" t="s">
        <v>144</v>
      </c>
      <c r="C19" s="17" t="s">
        <v>157</v>
      </c>
      <c r="D19" s="11">
        <v>10000</v>
      </c>
      <c r="E19" s="11">
        <v>10000</v>
      </c>
      <c r="F19" s="11">
        <v>10000</v>
      </c>
      <c r="G19" s="11">
        <v>10000</v>
      </c>
      <c r="H19" s="11">
        <v>10000</v>
      </c>
      <c r="I19" s="11">
        <v>10000</v>
      </c>
      <c r="J19" s="17">
        <f t="shared" si="0"/>
        <v>10000</v>
      </c>
      <c r="K19" s="13">
        <f t="shared" si="1"/>
        <v>70000</v>
      </c>
    </row>
    <row r="20" spans="1:11" ht="20.100000000000001" customHeight="1" x14ac:dyDescent="0.3">
      <c r="A20" s="3" t="s">
        <v>18</v>
      </c>
      <c r="B20" s="7" t="s">
        <v>140</v>
      </c>
      <c r="C20" s="17" t="s">
        <v>157</v>
      </c>
      <c r="D20" s="11" t="s">
        <v>157</v>
      </c>
      <c r="E20" s="11" t="s">
        <v>157</v>
      </c>
      <c r="F20" s="11" t="s">
        <v>157</v>
      </c>
      <c r="G20" s="11" t="s">
        <v>157</v>
      </c>
      <c r="H20" s="11" t="s">
        <v>157</v>
      </c>
      <c r="I20" s="11" t="s">
        <v>157</v>
      </c>
      <c r="J20" s="17">
        <f t="shared" si="0"/>
        <v>70000</v>
      </c>
      <c r="K20" s="13">
        <f t="shared" si="1"/>
        <v>70000</v>
      </c>
    </row>
    <row r="21" spans="1:11" ht="20.100000000000001" customHeight="1" x14ac:dyDescent="0.3">
      <c r="A21" s="3" t="s">
        <v>19</v>
      </c>
      <c r="B21" s="7" t="s">
        <v>145</v>
      </c>
      <c r="C21" s="17" t="s">
        <v>157</v>
      </c>
      <c r="D21" s="11">
        <v>10000</v>
      </c>
      <c r="E21" s="11">
        <v>10000</v>
      </c>
      <c r="F21" s="11">
        <v>10000</v>
      </c>
      <c r="G21" s="11">
        <v>10000</v>
      </c>
      <c r="H21" s="11">
        <v>10000</v>
      </c>
      <c r="I21" s="11">
        <v>10000</v>
      </c>
      <c r="J21" s="17">
        <f t="shared" si="0"/>
        <v>10000</v>
      </c>
      <c r="K21" s="13">
        <f t="shared" si="1"/>
        <v>70000</v>
      </c>
    </row>
    <row r="22" spans="1:11" ht="20.100000000000001" customHeight="1" x14ac:dyDescent="0.3">
      <c r="A22" s="3" t="s">
        <v>20</v>
      </c>
      <c r="B22" s="7" t="s">
        <v>143</v>
      </c>
      <c r="C22" s="17" t="s">
        <v>157</v>
      </c>
      <c r="D22" s="11">
        <v>10000</v>
      </c>
      <c r="E22" s="11">
        <v>10000</v>
      </c>
      <c r="F22" s="11">
        <v>10000</v>
      </c>
      <c r="G22" s="11">
        <v>10000</v>
      </c>
      <c r="H22" s="11">
        <v>10000</v>
      </c>
      <c r="I22" s="11">
        <v>10000</v>
      </c>
      <c r="J22" s="17">
        <f t="shared" si="0"/>
        <v>10000</v>
      </c>
      <c r="K22" s="13">
        <f t="shared" si="1"/>
        <v>70000</v>
      </c>
    </row>
    <row r="23" spans="1:11" ht="20.100000000000001" customHeight="1" x14ac:dyDescent="0.3">
      <c r="A23" s="3" t="s">
        <v>21</v>
      </c>
      <c r="B23" s="7" t="s">
        <v>124</v>
      </c>
      <c r="C23" s="17" t="s">
        <v>157</v>
      </c>
      <c r="D23" s="11">
        <v>10000</v>
      </c>
      <c r="E23" s="11">
        <v>10000</v>
      </c>
      <c r="F23" s="11">
        <v>10000</v>
      </c>
      <c r="G23" s="11">
        <v>10000</v>
      </c>
      <c r="H23" s="11">
        <v>10000</v>
      </c>
      <c r="I23" s="11">
        <v>10000</v>
      </c>
      <c r="J23" s="17">
        <f t="shared" si="0"/>
        <v>10000</v>
      </c>
      <c r="K23" s="13">
        <f t="shared" si="1"/>
        <v>70000</v>
      </c>
    </row>
    <row r="24" spans="1:11" ht="20.100000000000001" customHeight="1" x14ac:dyDescent="0.3">
      <c r="A24" s="3" t="s">
        <v>22</v>
      </c>
      <c r="B24" s="7" t="s">
        <v>123</v>
      </c>
      <c r="C24" s="17" t="s">
        <v>157</v>
      </c>
      <c r="D24" s="11" t="s">
        <v>157</v>
      </c>
      <c r="E24" s="11" t="s">
        <v>157</v>
      </c>
      <c r="F24" s="11" t="s">
        <v>157</v>
      </c>
      <c r="G24" s="11" t="s">
        <v>157</v>
      </c>
      <c r="H24" s="11" t="s">
        <v>157</v>
      </c>
      <c r="I24" s="11" t="s">
        <v>157</v>
      </c>
      <c r="J24" s="17">
        <f t="shared" si="0"/>
        <v>70000</v>
      </c>
      <c r="K24" s="13">
        <f t="shared" si="1"/>
        <v>70000</v>
      </c>
    </row>
    <row r="25" spans="1:11" ht="20.100000000000001" customHeight="1" x14ac:dyDescent="0.3">
      <c r="A25" s="3" t="s">
        <v>24</v>
      </c>
      <c r="B25" s="7" t="s">
        <v>139</v>
      </c>
      <c r="C25" s="17" t="s">
        <v>157</v>
      </c>
      <c r="D25" s="11" t="s">
        <v>157</v>
      </c>
      <c r="E25" s="11" t="s">
        <v>157</v>
      </c>
      <c r="F25" s="11" t="s">
        <v>157</v>
      </c>
      <c r="G25" s="11" t="s">
        <v>157</v>
      </c>
      <c r="H25" s="11" t="s">
        <v>157</v>
      </c>
      <c r="I25" s="11" t="s">
        <v>157</v>
      </c>
      <c r="J25" s="17">
        <f t="shared" si="0"/>
        <v>70000</v>
      </c>
      <c r="K25" s="13">
        <f t="shared" si="1"/>
        <v>70000</v>
      </c>
    </row>
    <row r="26" spans="1:11" ht="20.100000000000001" customHeight="1" x14ac:dyDescent="0.3">
      <c r="A26" s="3" t="s">
        <v>25</v>
      </c>
      <c r="B26" s="7" t="s">
        <v>141</v>
      </c>
      <c r="C26" s="17" t="s">
        <v>157</v>
      </c>
      <c r="D26" s="11" t="s">
        <v>157</v>
      </c>
      <c r="E26" s="11" t="s">
        <v>157</v>
      </c>
      <c r="F26" s="11" t="s">
        <v>157</v>
      </c>
      <c r="G26" s="11" t="s">
        <v>157</v>
      </c>
      <c r="H26" s="11" t="s">
        <v>157</v>
      </c>
      <c r="I26" s="11" t="s">
        <v>157</v>
      </c>
      <c r="J26" s="17">
        <f t="shared" si="0"/>
        <v>70000</v>
      </c>
      <c r="K26" s="13">
        <f t="shared" si="1"/>
        <v>70000</v>
      </c>
    </row>
    <row r="27" spans="1:11" ht="20.100000000000001" customHeight="1" x14ac:dyDescent="0.3">
      <c r="A27" s="3" t="s">
        <v>26</v>
      </c>
      <c r="B27" s="7" t="s">
        <v>147</v>
      </c>
      <c r="C27" s="17" t="s">
        <v>157</v>
      </c>
      <c r="D27" s="11" t="s">
        <v>157</v>
      </c>
      <c r="E27" s="11" t="s">
        <v>157</v>
      </c>
      <c r="F27" s="11" t="s">
        <v>157</v>
      </c>
      <c r="G27" s="11" t="s">
        <v>157</v>
      </c>
      <c r="H27" s="11" t="s">
        <v>157</v>
      </c>
      <c r="I27" s="11" t="s">
        <v>157</v>
      </c>
      <c r="J27" s="17">
        <f t="shared" si="0"/>
        <v>70000</v>
      </c>
      <c r="K27" s="13">
        <f t="shared" si="1"/>
        <v>70000</v>
      </c>
    </row>
    <row r="28" spans="1:11" ht="20.100000000000001" customHeight="1" x14ac:dyDescent="0.3">
      <c r="A28" s="3" t="s">
        <v>27</v>
      </c>
      <c r="B28" s="7" t="s">
        <v>130</v>
      </c>
      <c r="C28" s="17" t="s">
        <v>157</v>
      </c>
      <c r="D28" s="11" t="s">
        <v>157</v>
      </c>
      <c r="E28" s="11" t="s">
        <v>157</v>
      </c>
      <c r="F28" s="11" t="s">
        <v>157</v>
      </c>
      <c r="G28" s="11" t="s">
        <v>157</v>
      </c>
      <c r="H28" s="11" t="s">
        <v>157</v>
      </c>
      <c r="I28" s="11" t="s">
        <v>157</v>
      </c>
      <c r="J28" s="17">
        <f t="shared" si="0"/>
        <v>70000</v>
      </c>
      <c r="K28" s="13">
        <f t="shared" si="1"/>
        <v>70000</v>
      </c>
    </row>
    <row r="29" spans="1:11" ht="20.100000000000001" customHeight="1" x14ac:dyDescent="0.3">
      <c r="A29" s="3" t="s">
        <v>28</v>
      </c>
      <c r="B29" s="7" t="s">
        <v>121</v>
      </c>
      <c r="C29" s="17" t="s">
        <v>157</v>
      </c>
      <c r="D29" s="11" t="s">
        <v>157</v>
      </c>
      <c r="E29" s="11" t="s">
        <v>157</v>
      </c>
      <c r="F29" s="11" t="s">
        <v>157</v>
      </c>
      <c r="G29" s="11" t="s">
        <v>157</v>
      </c>
      <c r="H29" s="11" t="s">
        <v>157</v>
      </c>
      <c r="I29" s="11" t="s">
        <v>157</v>
      </c>
      <c r="J29" s="17">
        <f t="shared" si="0"/>
        <v>70000</v>
      </c>
      <c r="K29" s="13">
        <f t="shared" si="1"/>
        <v>70000</v>
      </c>
    </row>
    <row r="30" spans="1:11" ht="20.100000000000001" customHeight="1" x14ac:dyDescent="0.3">
      <c r="A30" s="3" t="s">
        <v>29</v>
      </c>
      <c r="B30" s="7" t="s">
        <v>134</v>
      </c>
      <c r="C30" s="17" t="s">
        <v>157</v>
      </c>
      <c r="D30" s="11" t="s">
        <v>157</v>
      </c>
      <c r="E30" s="11" t="s">
        <v>157</v>
      </c>
      <c r="F30" s="11" t="s">
        <v>157</v>
      </c>
      <c r="G30" s="11" t="s">
        <v>157</v>
      </c>
      <c r="H30" s="11" t="s">
        <v>157</v>
      </c>
      <c r="I30" s="11" t="s">
        <v>157</v>
      </c>
      <c r="J30" s="17">
        <f t="shared" si="0"/>
        <v>70000</v>
      </c>
      <c r="K30" s="13">
        <f t="shared" si="1"/>
        <v>70000</v>
      </c>
    </row>
    <row r="31" spans="1:11" ht="20.100000000000001" customHeight="1" x14ac:dyDescent="0.3">
      <c r="A31" s="3" t="s">
        <v>30</v>
      </c>
      <c r="B31" s="7" t="s">
        <v>127</v>
      </c>
      <c r="C31" s="17" t="s">
        <v>157</v>
      </c>
      <c r="D31" s="11">
        <v>10000</v>
      </c>
      <c r="E31" s="11">
        <v>10000</v>
      </c>
      <c r="F31" s="11">
        <v>10000</v>
      </c>
      <c r="G31" s="11">
        <v>10000</v>
      </c>
      <c r="H31" s="11">
        <v>10000</v>
      </c>
      <c r="I31" s="11" t="s">
        <v>157</v>
      </c>
      <c r="J31" s="17">
        <f t="shared" si="0"/>
        <v>20000</v>
      </c>
      <c r="K31" s="13">
        <f t="shared" si="1"/>
        <v>70000</v>
      </c>
    </row>
    <row r="32" spans="1:11" ht="20.100000000000001" customHeight="1" x14ac:dyDescent="0.3">
      <c r="A32" s="3" t="s">
        <v>31</v>
      </c>
      <c r="B32" s="7" t="s">
        <v>131</v>
      </c>
      <c r="C32" s="17" t="s">
        <v>157</v>
      </c>
      <c r="D32" s="11" t="s">
        <v>157</v>
      </c>
      <c r="E32" s="11" t="s">
        <v>157</v>
      </c>
      <c r="F32" s="11" t="s">
        <v>157</v>
      </c>
      <c r="G32" s="11" t="s">
        <v>157</v>
      </c>
      <c r="H32" s="11" t="s">
        <v>157</v>
      </c>
      <c r="I32" s="11" t="s">
        <v>157</v>
      </c>
      <c r="J32" s="17">
        <f t="shared" si="0"/>
        <v>70000</v>
      </c>
      <c r="K32" s="13">
        <f t="shared" si="1"/>
        <v>70000</v>
      </c>
    </row>
    <row r="33" spans="1:11" ht="20.100000000000001" customHeight="1" x14ac:dyDescent="0.3">
      <c r="A33" s="3" t="s">
        <v>32</v>
      </c>
      <c r="B33" s="7" t="s">
        <v>128</v>
      </c>
      <c r="C33" s="17">
        <v>10000</v>
      </c>
      <c r="D33" s="11">
        <v>10000</v>
      </c>
      <c r="E33" s="11">
        <v>10000</v>
      </c>
      <c r="F33" s="11" t="s">
        <v>157</v>
      </c>
      <c r="G33" s="11" t="s">
        <v>157</v>
      </c>
      <c r="H33" s="11" t="s">
        <v>157</v>
      </c>
      <c r="I33" s="11" t="s">
        <v>157</v>
      </c>
      <c r="J33" s="17">
        <f t="shared" si="0"/>
        <v>40000</v>
      </c>
      <c r="K33" s="13">
        <f t="shared" si="1"/>
        <v>70000</v>
      </c>
    </row>
    <row r="34" spans="1:11" ht="20.100000000000001" customHeight="1" x14ac:dyDescent="0.3">
      <c r="A34" s="3" t="s">
        <v>33</v>
      </c>
      <c r="B34" s="7" t="s">
        <v>133</v>
      </c>
      <c r="C34" s="17" t="s">
        <v>157</v>
      </c>
      <c r="D34" s="11">
        <v>10000</v>
      </c>
      <c r="E34" s="11">
        <v>10000</v>
      </c>
      <c r="F34" s="11">
        <v>10000</v>
      </c>
      <c r="G34" s="11">
        <v>10000</v>
      </c>
      <c r="H34" s="11">
        <v>10000</v>
      </c>
      <c r="I34" s="11">
        <v>10000</v>
      </c>
      <c r="J34" s="17">
        <f t="shared" si="0"/>
        <v>10000</v>
      </c>
      <c r="K34" s="13">
        <f t="shared" si="1"/>
        <v>70000</v>
      </c>
    </row>
    <row r="35" spans="1:11" ht="20.100000000000001" customHeight="1" x14ac:dyDescent="0.3">
      <c r="A35" s="3" t="s">
        <v>34</v>
      </c>
      <c r="B35" s="7" t="s">
        <v>117</v>
      </c>
      <c r="C35" s="17">
        <v>10000</v>
      </c>
      <c r="D35" s="11" t="s">
        <v>157</v>
      </c>
      <c r="E35" s="11" t="s">
        <v>157</v>
      </c>
      <c r="F35" s="11" t="s">
        <v>157</v>
      </c>
      <c r="G35" s="11" t="s">
        <v>157</v>
      </c>
      <c r="H35" s="11" t="s">
        <v>157</v>
      </c>
      <c r="I35" s="11" t="s">
        <v>157</v>
      </c>
      <c r="J35" s="17">
        <f t="shared" si="0"/>
        <v>60000</v>
      </c>
      <c r="K35" s="13">
        <f t="shared" si="1"/>
        <v>70000</v>
      </c>
    </row>
    <row r="36" spans="1:11" ht="20.100000000000001" customHeight="1" x14ac:dyDescent="0.3">
      <c r="A36" s="9" t="s">
        <v>35</v>
      </c>
      <c r="B36" s="7" t="s">
        <v>115</v>
      </c>
      <c r="C36" s="17" t="s">
        <v>157</v>
      </c>
      <c r="D36" s="11">
        <v>10000</v>
      </c>
      <c r="E36" s="11">
        <v>10000</v>
      </c>
      <c r="F36" s="11">
        <v>10000</v>
      </c>
      <c r="G36" s="11">
        <v>10000</v>
      </c>
      <c r="H36" s="11">
        <v>10000</v>
      </c>
      <c r="I36" s="11">
        <v>10000</v>
      </c>
      <c r="J36" s="17">
        <f t="shared" si="0"/>
        <v>10000</v>
      </c>
      <c r="K36" s="13">
        <f t="shared" si="1"/>
        <v>70000</v>
      </c>
    </row>
    <row r="37" spans="1:11" ht="20.100000000000001" customHeight="1" x14ac:dyDescent="0.3">
      <c r="A37" s="9" t="s">
        <v>23</v>
      </c>
      <c r="B37" s="7" t="s">
        <v>114</v>
      </c>
      <c r="C37" s="17"/>
      <c r="D37" s="11"/>
      <c r="E37" s="11"/>
      <c r="F37" s="11"/>
      <c r="G37" s="11"/>
      <c r="H37" s="11"/>
      <c r="I37" s="11"/>
      <c r="J37" s="17">
        <f t="shared" si="0"/>
        <v>70000</v>
      </c>
      <c r="K37" s="13">
        <f t="shared" si="1"/>
        <v>70000</v>
      </c>
    </row>
    <row r="38" spans="1:11" ht="20.100000000000001" customHeight="1" x14ac:dyDescent="0.3">
      <c r="A38" s="3" t="s">
        <v>36</v>
      </c>
      <c r="B38" s="7" t="s">
        <v>135</v>
      </c>
      <c r="C38" s="17" t="s">
        <v>157</v>
      </c>
      <c r="D38" s="11" t="s">
        <v>157</v>
      </c>
      <c r="E38" s="11" t="s">
        <v>157</v>
      </c>
      <c r="F38" s="11" t="s">
        <v>157</v>
      </c>
      <c r="G38" s="11" t="s">
        <v>157</v>
      </c>
      <c r="H38" s="11" t="s">
        <v>157</v>
      </c>
      <c r="I38" s="11" t="s">
        <v>157</v>
      </c>
      <c r="J38" s="17">
        <f t="shared" si="0"/>
        <v>70000</v>
      </c>
      <c r="K38" s="13">
        <f t="shared" si="1"/>
        <v>70000</v>
      </c>
    </row>
    <row r="39" spans="1:11" ht="20.100000000000001" customHeight="1" x14ac:dyDescent="0.3">
      <c r="A39" s="3" t="s">
        <v>37</v>
      </c>
      <c r="B39" s="7" t="s">
        <v>119</v>
      </c>
      <c r="C39" s="17" t="s">
        <v>157</v>
      </c>
      <c r="D39" s="11" t="s">
        <v>157</v>
      </c>
      <c r="E39" s="11" t="s">
        <v>157</v>
      </c>
      <c r="F39" s="11" t="s">
        <v>157</v>
      </c>
      <c r="G39" s="11" t="s">
        <v>157</v>
      </c>
      <c r="H39" s="11" t="s">
        <v>157</v>
      </c>
      <c r="I39" s="11" t="s">
        <v>157</v>
      </c>
      <c r="J39" s="17">
        <f t="shared" si="0"/>
        <v>70000</v>
      </c>
      <c r="K39" s="13">
        <f t="shared" si="1"/>
        <v>70000</v>
      </c>
    </row>
    <row r="40" spans="1:11" ht="20.100000000000001" customHeight="1" x14ac:dyDescent="0.3">
      <c r="A40" s="3" t="s">
        <v>38</v>
      </c>
      <c r="B40" s="7" t="s">
        <v>125</v>
      </c>
      <c r="C40" s="17">
        <v>10000</v>
      </c>
      <c r="D40" s="11" t="s">
        <v>157</v>
      </c>
      <c r="E40" s="11" t="s">
        <v>157</v>
      </c>
      <c r="F40" s="11" t="s">
        <v>157</v>
      </c>
      <c r="G40" s="11" t="s">
        <v>157</v>
      </c>
      <c r="H40" s="11" t="s">
        <v>157</v>
      </c>
      <c r="I40" s="11" t="s">
        <v>157</v>
      </c>
      <c r="J40" s="17">
        <f t="shared" si="0"/>
        <v>60000</v>
      </c>
      <c r="K40" s="13">
        <f t="shared" si="1"/>
        <v>70000</v>
      </c>
    </row>
    <row r="41" spans="1:11" s="4" customFormat="1" ht="20.100000000000001" customHeight="1" x14ac:dyDescent="0.3">
      <c r="A41" s="3" t="s">
        <v>39</v>
      </c>
      <c r="B41" s="7" t="s">
        <v>129</v>
      </c>
      <c r="C41" s="17" t="s">
        <v>157</v>
      </c>
      <c r="D41" s="18">
        <v>10000</v>
      </c>
      <c r="E41" s="18">
        <v>10000</v>
      </c>
      <c r="F41" s="18">
        <v>10000</v>
      </c>
      <c r="G41" s="18">
        <v>10000</v>
      </c>
      <c r="H41" s="18">
        <v>10000</v>
      </c>
      <c r="I41" s="18">
        <v>10000</v>
      </c>
      <c r="J41" s="17">
        <f t="shared" si="0"/>
        <v>10000</v>
      </c>
      <c r="K41" s="13">
        <f t="shared" si="1"/>
        <v>70000</v>
      </c>
    </row>
    <row r="42" spans="1:11" ht="20.100000000000001" customHeight="1" x14ac:dyDescent="0.3">
      <c r="A42" s="3" t="s">
        <v>40</v>
      </c>
      <c r="B42" s="7" t="s">
        <v>122</v>
      </c>
      <c r="C42" s="17" t="s">
        <v>157</v>
      </c>
      <c r="D42" s="11" t="s">
        <v>157</v>
      </c>
      <c r="E42" s="11" t="s">
        <v>157</v>
      </c>
      <c r="F42" s="11" t="s">
        <v>157</v>
      </c>
      <c r="G42" s="11" t="s">
        <v>157</v>
      </c>
      <c r="H42" s="11" t="s">
        <v>157</v>
      </c>
      <c r="I42" s="11" t="s">
        <v>157</v>
      </c>
      <c r="J42" s="17">
        <f t="shared" si="0"/>
        <v>0</v>
      </c>
      <c r="K42" s="13"/>
    </row>
    <row r="43" spans="1:11" ht="20.100000000000001" customHeight="1" x14ac:dyDescent="0.3">
      <c r="A43" s="3" t="s">
        <v>41</v>
      </c>
      <c r="B43" s="7" t="s">
        <v>132</v>
      </c>
      <c r="C43" s="17" t="s">
        <v>162</v>
      </c>
      <c r="D43" s="11" t="s">
        <v>157</v>
      </c>
      <c r="E43" s="11" t="s">
        <v>157</v>
      </c>
      <c r="F43" s="11" t="s">
        <v>157</v>
      </c>
      <c r="G43" s="11" t="s">
        <v>157</v>
      </c>
      <c r="H43" s="11" t="s">
        <v>157</v>
      </c>
      <c r="I43" s="11" t="s">
        <v>157</v>
      </c>
      <c r="J43" s="17">
        <f t="shared" si="0"/>
        <v>70000</v>
      </c>
      <c r="K43" s="13">
        <f t="shared" si="1"/>
        <v>70000</v>
      </c>
    </row>
    <row r="44" spans="1:11" ht="20.100000000000001" customHeight="1" x14ac:dyDescent="0.3">
      <c r="A44" s="3" t="s">
        <v>42</v>
      </c>
      <c r="B44" s="7" t="s">
        <v>120</v>
      </c>
      <c r="C44" s="17" t="s">
        <v>157</v>
      </c>
      <c r="D44" s="11" t="s">
        <v>162</v>
      </c>
      <c r="E44" s="11" t="s">
        <v>157</v>
      </c>
      <c r="F44" s="11" t="s">
        <v>157</v>
      </c>
      <c r="G44" s="11" t="s">
        <v>157</v>
      </c>
      <c r="H44" s="11" t="s">
        <v>157</v>
      </c>
      <c r="I44" s="11" t="s">
        <v>157</v>
      </c>
      <c r="J44" s="17">
        <f t="shared" si="0"/>
        <v>70000</v>
      </c>
      <c r="K44" s="13">
        <f t="shared" si="1"/>
        <v>70000</v>
      </c>
    </row>
    <row r="45" spans="1:11" ht="20.100000000000001" customHeight="1" x14ac:dyDescent="0.3">
      <c r="A45" s="3" t="s">
        <v>43</v>
      </c>
      <c r="B45" s="7" t="s">
        <v>113</v>
      </c>
      <c r="C45" s="17" t="s">
        <v>157</v>
      </c>
      <c r="D45" s="11" t="s">
        <v>157</v>
      </c>
      <c r="E45" s="11" t="s">
        <v>157</v>
      </c>
      <c r="F45" s="11" t="s">
        <v>157</v>
      </c>
      <c r="G45" s="11" t="s">
        <v>157</v>
      </c>
      <c r="H45" s="11" t="s">
        <v>157</v>
      </c>
      <c r="I45" s="11" t="s">
        <v>157</v>
      </c>
      <c r="J45" s="17">
        <f t="shared" si="0"/>
        <v>70000</v>
      </c>
      <c r="K45" s="13">
        <f t="shared" si="1"/>
        <v>70000</v>
      </c>
    </row>
    <row r="46" spans="1:11" ht="20.100000000000001" customHeight="1" x14ac:dyDescent="0.3">
      <c r="A46" s="3" t="s">
        <v>44</v>
      </c>
      <c r="B46" s="7" t="s">
        <v>91</v>
      </c>
      <c r="C46" s="17" t="s">
        <v>157</v>
      </c>
      <c r="D46" s="11">
        <v>10000</v>
      </c>
      <c r="E46" s="11">
        <v>10000</v>
      </c>
      <c r="F46" s="11">
        <v>10000</v>
      </c>
      <c r="G46" s="11">
        <v>10000</v>
      </c>
      <c r="H46" s="11">
        <v>10000</v>
      </c>
      <c r="I46" s="11">
        <v>10000</v>
      </c>
      <c r="J46" s="17">
        <f t="shared" si="0"/>
        <v>10000</v>
      </c>
      <c r="K46" s="13">
        <f t="shared" si="1"/>
        <v>70000</v>
      </c>
    </row>
    <row r="47" spans="1:11" ht="20.100000000000001" customHeight="1" x14ac:dyDescent="0.3">
      <c r="A47" s="3" t="s">
        <v>45</v>
      </c>
      <c r="B47" s="7" t="s">
        <v>84</v>
      </c>
      <c r="C47" s="17" t="s">
        <v>157</v>
      </c>
      <c r="D47" s="11">
        <v>10000</v>
      </c>
      <c r="E47" s="11">
        <v>10000</v>
      </c>
      <c r="F47" s="11">
        <v>10000</v>
      </c>
      <c r="G47" s="11" t="s">
        <v>157</v>
      </c>
      <c r="H47" s="11" t="s">
        <v>157</v>
      </c>
      <c r="I47" s="11" t="s">
        <v>157</v>
      </c>
      <c r="J47" s="17">
        <f t="shared" si="0"/>
        <v>40000</v>
      </c>
      <c r="K47" s="13">
        <f t="shared" si="1"/>
        <v>70000</v>
      </c>
    </row>
    <row r="48" spans="1:11" ht="20.100000000000001" customHeight="1" x14ac:dyDescent="0.3">
      <c r="A48" s="3" t="s">
        <v>46</v>
      </c>
      <c r="B48" s="7" t="s">
        <v>79</v>
      </c>
      <c r="C48" s="17" t="s">
        <v>157</v>
      </c>
      <c r="D48" s="11">
        <v>10000</v>
      </c>
      <c r="E48" s="11" t="s">
        <v>162</v>
      </c>
      <c r="F48" s="11">
        <v>10000</v>
      </c>
      <c r="G48" s="11">
        <v>10000</v>
      </c>
      <c r="H48" s="11">
        <v>10000</v>
      </c>
      <c r="I48" s="11" t="s">
        <v>157</v>
      </c>
      <c r="J48" s="17">
        <f t="shared" si="0"/>
        <v>30000</v>
      </c>
      <c r="K48" s="13">
        <f t="shared" si="1"/>
        <v>70000</v>
      </c>
    </row>
    <row r="49" spans="1:11" ht="20.100000000000001" customHeight="1" x14ac:dyDescent="0.3">
      <c r="A49" s="3" t="s">
        <v>47</v>
      </c>
      <c r="B49" s="7" t="s">
        <v>87</v>
      </c>
      <c r="C49" s="17" t="s">
        <v>157</v>
      </c>
      <c r="D49" s="11" t="s">
        <v>157</v>
      </c>
      <c r="E49" s="11" t="s">
        <v>157</v>
      </c>
      <c r="F49" s="11" t="s">
        <v>157</v>
      </c>
      <c r="G49" s="11" t="s">
        <v>157</v>
      </c>
      <c r="H49" s="11" t="s">
        <v>157</v>
      </c>
      <c r="I49" s="11" t="s">
        <v>157</v>
      </c>
      <c r="J49" s="17">
        <f t="shared" si="0"/>
        <v>70000</v>
      </c>
      <c r="K49" s="13">
        <f t="shared" si="1"/>
        <v>70000</v>
      </c>
    </row>
    <row r="50" spans="1:11" ht="20.100000000000001" customHeight="1" x14ac:dyDescent="0.3">
      <c r="A50" s="3" t="s">
        <v>48</v>
      </c>
      <c r="B50" s="7" t="s">
        <v>90</v>
      </c>
      <c r="C50" s="17">
        <v>10000</v>
      </c>
      <c r="D50" s="11">
        <v>10000</v>
      </c>
      <c r="E50" s="11">
        <v>10000</v>
      </c>
      <c r="F50" s="11">
        <v>10000</v>
      </c>
      <c r="G50" s="11">
        <v>10000</v>
      </c>
      <c r="H50" s="11">
        <v>10000</v>
      </c>
      <c r="I50" s="11" t="s">
        <v>157</v>
      </c>
      <c r="J50" s="17">
        <f t="shared" si="0"/>
        <v>10000</v>
      </c>
      <c r="K50" s="13">
        <f t="shared" si="1"/>
        <v>70000</v>
      </c>
    </row>
    <row r="51" spans="1:11" ht="20.100000000000001" customHeight="1" x14ac:dyDescent="0.3">
      <c r="A51" s="3" t="s">
        <v>49</v>
      </c>
      <c r="B51" s="7" t="s">
        <v>81</v>
      </c>
      <c r="C51" s="17" t="s">
        <v>157</v>
      </c>
      <c r="D51" s="11" t="s">
        <v>157</v>
      </c>
      <c r="E51" s="11" t="s">
        <v>157</v>
      </c>
      <c r="F51" s="11" t="s">
        <v>157</v>
      </c>
      <c r="G51" s="11" t="s">
        <v>157</v>
      </c>
      <c r="H51" s="11" t="s">
        <v>157</v>
      </c>
      <c r="I51" s="11" t="s">
        <v>157</v>
      </c>
      <c r="J51" s="17">
        <f t="shared" si="0"/>
        <v>70000</v>
      </c>
      <c r="K51" s="13">
        <f t="shared" si="1"/>
        <v>70000</v>
      </c>
    </row>
    <row r="52" spans="1:11" ht="20.100000000000001" customHeight="1" x14ac:dyDescent="0.3">
      <c r="A52" s="3" t="s">
        <v>50</v>
      </c>
      <c r="B52" s="7" t="s">
        <v>92</v>
      </c>
      <c r="C52" s="17" t="s">
        <v>157</v>
      </c>
      <c r="D52" s="11" t="s">
        <v>157</v>
      </c>
      <c r="E52" s="11" t="s">
        <v>157</v>
      </c>
      <c r="F52" s="11" t="s">
        <v>157</v>
      </c>
      <c r="G52" s="11" t="s">
        <v>157</v>
      </c>
      <c r="H52" s="11" t="s">
        <v>157</v>
      </c>
      <c r="I52" s="11" t="s">
        <v>157</v>
      </c>
      <c r="J52" s="17">
        <f t="shared" si="0"/>
        <v>70000</v>
      </c>
      <c r="K52" s="13">
        <f t="shared" si="1"/>
        <v>70000</v>
      </c>
    </row>
    <row r="53" spans="1:11" ht="20.100000000000001" customHeight="1" x14ac:dyDescent="0.3">
      <c r="A53" s="3" t="s">
        <v>51</v>
      </c>
      <c r="B53" s="7" t="s">
        <v>82</v>
      </c>
      <c r="C53" s="17" t="s">
        <v>157</v>
      </c>
      <c r="D53" s="11" t="s">
        <v>157</v>
      </c>
      <c r="E53" s="11" t="s">
        <v>157</v>
      </c>
      <c r="F53" s="11" t="s">
        <v>157</v>
      </c>
      <c r="G53" s="11" t="s">
        <v>157</v>
      </c>
      <c r="H53" s="11" t="s">
        <v>157</v>
      </c>
      <c r="I53" s="11" t="s">
        <v>157</v>
      </c>
      <c r="J53" s="17">
        <f t="shared" si="0"/>
        <v>70000</v>
      </c>
      <c r="K53" s="13">
        <f t="shared" si="1"/>
        <v>70000</v>
      </c>
    </row>
    <row r="54" spans="1:11" ht="20.100000000000001" customHeight="1" x14ac:dyDescent="0.3">
      <c r="A54" s="3" t="s">
        <v>52</v>
      </c>
      <c r="B54" s="7" t="s">
        <v>85</v>
      </c>
      <c r="C54" s="17" t="s">
        <v>157</v>
      </c>
      <c r="D54" s="11">
        <v>10000</v>
      </c>
      <c r="E54" s="11">
        <v>10000</v>
      </c>
      <c r="F54" s="11">
        <v>10000</v>
      </c>
      <c r="G54" s="11">
        <v>10000</v>
      </c>
      <c r="H54" s="11">
        <v>10000</v>
      </c>
      <c r="I54" s="11" t="s">
        <v>157</v>
      </c>
      <c r="J54" s="17">
        <f t="shared" si="0"/>
        <v>-50000</v>
      </c>
      <c r="K54" s="13"/>
    </row>
    <row r="55" spans="1:11" ht="20.100000000000001" customHeight="1" x14ac:dyDescent="0.3">
      <c r="A55" s="3" t="s">
        <v>53</v>
      </c>
      <c r="B55" s="7" t="s">
        <v>89</v>
      </c>
      <c r="C55" s="17" t="s">
        <v>157</v>
      </c>
      <c r="D55" s="11">
        <v>10000</v>
      </c>
      <c r="E55" s="11" t="s">
        <v>157</v>
      </c>
      <c r="F55" s="11" t="s">
        <v>157</v>
      </c>
      <c r="G55" s="11" t="s">
        <v>157</v>
      </c>
      <c r="H55" s="11" t="s">
        <v>157</v>
      </c>
      <c r="I55" s="11" t="s">
        <v>157</v>
      </c>
      <c r="J55" s="17">
        <f t="shared" si="0"/>
        <v>60000</v>
      </c>
      <c r="K55" s="13">
        <f t="shared" si="1"/>
        <v>70000</v>
      </c>
    </row>
    <row r="56" spans="1:11" ht="20.100000000000001" customHeight="1" x14ac:dyDescent="0.3">
      <c r="A56" s="3" t="s">
        <v>54</v>
      </c>
      <c r="B56" s="7" t="s">
        <v>88</v>
      </c>
      <c r="C56" s="17" t="s">
        <v>157</v>
      </c>
      <c r="D56" s="11">
        <v>10000</v>
      </c>
      <c r="E56" s="11">
        <v>10000</v>
      </c>
      <c r="F56" s="11">
        <v>10000</v>
      </c>
      <c r="G56" s="11">
        <v>10000</v>
      </c>
      <c r="H56" s="11">
        <v>10000</v>
      </c>
      <c r="I56" s="11">
        <v>10000</v>
      </c>
      <c r="J56" s="17">
        <f t="shared" si="0"/>
        <v>10000</v>
      </c>
      <c r="K56" s="13">
        <f t="shared" si="1"/>
        <v>70000</v>
      </c>
    </row>
    <row r="57" spans="1:11" ht="20.100000000000001" customHeight="1" x14ac:dyDescent="0.3">
      <c r="A57" s="3" t="s">
        <v>55</v>
      </c>
      <c r="B57" s="7" t="s">
        <v>86</v>
      </c>
      <c r="C57" s="17" t="s">
        <v>157</v>
      </c>
      <c r="D57" s="11" t="s">
        <v>157</v>
      </c>
      <c r="E57" s="11" t="s">
        <v>157</v>
      </c>
      <c r="F57" s="11" t="s">
        <v>157</v>
      </c>
      <c r="G57" s="11" t="s">
        <v>157</v>
      </c>
      <c r="H57" s="11" t="s">
        <v>157</v>
      </c>
      <c r="I57" s="11" t="s">
        <v>157</v>
      </c>
      <c r="J57" s="17">
        <f t="shared" si="0"/>
        <v>70000</v>
      </c>
      <c r="K57" s="13">
        <f t="shared" si="1"/>
        <v>70000</v>
      </c>
    </row>
    <row r="58" spans="1:11" ht="20.100000000000001" customHeight="1" x14ac:dyDescent="0.3">
      <c r="A58" s="3" t="s">
        <v>56</v>
      </c>
      <c r="B58" s="7" t="s">
        <v>80</v>
      </c>
      <c r="C58" s="17" t="s">
        <v>157</v>
      </c>
      <c r="D58" s="11" t="s">
        <v>157</v>
      </c>
      <c r="E58" s="11" t="s">
        <v>157</v>
      </c>
      <c r="F58" s="11" t="s">
        <v>157</v>
      </c>
      <c r="G58" s="11" t="s">
        <v>157</v>
      </c>
      <c r="H58" s="11" t="s">
        <v>157</v>
      </c>
      <c r="I58" s="11" t="s">
        <v>157</v>
      </c>
      <c r="J58" s="17">
        <f t="shared" si="0"/>
        <v>70000</v>
      </c>
      <c r="K58" s="13">
        <f t="shared" si="1"/>
        <v>70000</v>
      </c>
    </row>
    <row r="59" spans="1:11" ht="20.100000000000001" customHeight="1" x14ac:dyDescent="0.3">
      <c r="A59" s="3" t="s">
        <v>57</v>
      </c>
      <c r="B59" s="7" t="s">
        <v>112</v>
      </c>
      <c r="C59" s="17" t="s">
        <v>157</v>
      </c>
      <c r="D59" s="11" t="s">
        <v>157</v>
      </c>
      <c r="E59" s="11" t="s">
        <v>157</v>
      </c>
      <c r="F59" s="11" t="s">
        <v>157</v>
      </c>
      <c r="G59" s="11" t="s">
        <v>157</v>
      </c>
      <c r="H59" s="11" t="s">
        <v>157</v>
      </c>
      <c r="I59" s="11" t="s">
        <v>157</v>
      </c>
      <c r="J59" s="17">
        <f t="shared" si="0"/>
        <v>70000</v>
      </c>
      <c r="K59" s="13">
        <f t="shared" si="1"/>
        <v>70000</v>
      </c>
    </row>
    <row r="60" spans="1:11" ht="20.100000000000001" customHeight="1" x14ac:dyDescent="0.3">
      <c r="A60" s="3" t="s">
        <v>58</v>
      </c>
      <c r="B60" s="7" t="s">
        <v>83</v>
      </c>
      <c r="C60" s="17" t="s">
        <v>157</v>
      </c>
      <c r="D60" s="11">
        <v>10000</v>
      </c>
      <c r="E60" s="11" t="s">
        <v>157</v>
      </c>
      <c r="F60" s="11" t="s">
        <v>157</v>
      </c>
      <c r="G60" s="11" t="s">
        <v>157</v>
      </c>
      <c r="H60" s="11" t="s">
        <v>157</v>
      </c>
      <c r="I60" s="11" t="s">
        <v>157</v>
      </c>
      <c r="J60" s="17">
        <f t="shared" si="0"/>
        <v>60000</v>
      </c>
      <c r="K60" s="13">
        <f t="shared" si="1"/>
        <v>70000</v>
      </c>
    </row>
    <row r="61" spans="1:11" ht="20.100000000000001" customHeight="1" x14ac:dyDescent="0.3">
      <c r="A61" s="3" t="s">
        <v>59</v>
      </c>
      <c r="B61" s="7" t="s">
        <v>126</v>
      </c>
      <c r="C61" s="17" t="s">
        <v>157</v>
      </c>
      <c r="D61" s="11">
        <v>10000</v>
      </c>
      <c r="E61" s="11">
        <v>10000</v>
      </c>
      <c r="F61" s="11">
        <v>10000</v>
      </c>
      <c r="G61" s="11">
        <v>10000</v>
      </c>
      <c r="H61" s="11">
        <v>10000</v>
      </c>
      <c r="I61" s="11">
        <v>10000</v>
      </c>
      <c r="J61" s="17">
        <f t="shared" si="0"/>
        <v>10000</v>
      </c>
      <c r="K61" s="13">
        <f t="shared" si="1"/>
        <v>70000</v>
      </c>
    </row>
    <row r="62" spans="1:11" ht="20.100000000000001" customHeight="1" x14ac:dyDescent="0.3">
      <c r="A62" s="9" t="s">
        <v>60</v>
      </c>
      <c r="B62" s="7" t="s">
        <v>122</v>
      </c>
      <c r="C62" s="17" t="s">
        <v>157</v>
      </c>
      <c r="D62" s="11" t="s">
        <v>157</v>
      </c>
      <c r="E62" s="11" t="s">
        <v>157</v>
      </c>
      <c r="F62" s="11" t="s">
        <v>157</v>
      </c>
      <c r="G62" s="11" t="s">
        <v>157</v>
      </c>
      <c r="H62" s="11" t="s">
        <v>157</v>
      </c>
      <c r="I62" s="11" t="s">
        <v>157</v>
      </c>
      <c r="J62" s="17">
        <f t="shared" si="0"/>
        <v>0</v>
      </c>
      <c r="K62" s="13"/>
    </row>
    <row r="63" spans="1:11" ht="20.100000000000001" customHeight="1" x14ac:dyDescent="0.3">
      <c r="A63" s="9" t="s">
        <v>61</v>
      </c>
      <c r="B63" s="7" t="s">
        <v>109</v>
      </c>
      <c r="C63" s="17" t="s">
        <v>157</v>
      </c>
      <c r="D63" s="11" t="s">
        <v>157</v>
      </c>
      <c r="E63" s="11" t="s">
        <v>157</v>
      </c>
      <c r="F63" s="11" t="s">
        <v>157</v>
      </c>
      <c r="G63" s="11" t="s">
        <v>157</v>
      </c>
      <c r="H63" s="11" t="s">
        <v>157</v>
      </c>
      <c r="I63" s="11" t="s">
        <v>157</v>
      </c>
      <c r="J63" s="17">
        <f t="shared" si="0"/>
        <v>70000</v>
      </c>
      <c r="K63" s="13">
        <f t="shared" si="1"/>
        <v>70000</v>
      </c>
    </row>
    <row r="64" spans="1:11" ht="20.100000000000001" customHeight="1" x14ac:dyDescent="0.3">
      <c r="A64" s="9" t="s">
        <v>62</v>
      </c>
      <c r="B64" s="7" t="s">
        <v>100</v>
      </c>
      <c r="C64" s="17" t="s">
        <v>157</v>
      </c>
      <c r="D64" s="11" t="s">
        <v>157</v>
      </c>
      <c r="E64" s="11" t="s">
        <v>157</v>
      </c>
      <c r="F64" s="11" t="s">
        <v>157</v>
      </c>
      <c r="G64" s="11" t="s">
        <v>157</v>
      </c>
      <c r="H64" s="11" t="s">
        <v>157</v>
      </c>
      <c r="I64" s="11" t="s">
        <v>157</v>
      </c>
      <c r="J64" s="17">
        <f t="shared" si="0"/>
        <v>70000</v>
      </c>
      <c r="K64" s="13">
        <f t="shared" si="1"/>
        <v>70000</v>
      </c>
    </row>
    <row r="65" spans="1:11" ht="20.100000000000001" customHeight="1" x14ac:dyDescent="0.3">
      <c r="A65" s="9" t="s">
        <v>63</v>
      </c>
      <c r="B65" s="7" t="s">
        <v>102</v>
      </c>
      <c r="C65" s="17" t="s">
        <v>157</v>
      </c>
      <c r="D65" s="11" t="s">
        <v>157</v>
      </c>
      <c r="E65" s="11" t="s">
        <v>157</v>
      </c>
      <c r="F65" s="11" t="s">
        <v>157</v>
      </c>
      <c r="G65" s="11" t="s">
        <v>157</v>
      </c>
      <c r="H65" s="11" t="s">
        <v>157</v>
      </c>
      <c r="I65" s="11" t="s">
        <v>157</v>
      </c>
      <c r="J65" s="17">
        <f t="shared" si="0"/>
        <v>70000</v>
      </c>
      <c r="K65" s="13">
        <f t="shared" si="1"/>
        <v>70000</v>
      </c>
    </row>
    <row r="66" spans="1:11" ht="20.100000000000001" customHeight="1" x14ac:dyDescent="0.3">
      <c r="A66" s="9" t="s">
        <v>64</v>
      </c>
      <c r="B66" s="7" t="s">
        <v>104</v>
      </c>
      <c r="C66" s="17" t="s">
        <v>157</v>
      </c>
      <c r="D66" s="11">
        <v>10000</v>
      </c>
      <c r="E66" s="11">
        <v>10000</v>
      </c>
      <c r="F66" s="11">
        <v>10000</v>
      </c>
      <c r="G66" s="11">
        <v>10000</v>
      </c>
      <c r="H66" s="11">
        <v>10000</v>
      </c>
      <c r="I66" s="11">
        <v>10000</v>
      </c>
      <c r="J66" s="17">
        <f t="shared" si="0"/>
        <v>10000</v>
      </c>
      <c r="K66" s="13">
        <f t="shared" si="1"/>
        <v>70000</v>
      </c>
    </row>
    <row r="67" spans="1:11" ht="20.100000000000001" customHeight="1" x14ac:dyDescent="0.3">
      <c r="A67" s="9" t="s">
        <v>65</v>
      </c>
      <c r="B67" s="7" t="s">
        <v>108</v>
      </c>
      <c r="C67" s="17" t="s">
        <v>157</v>
      </c>
      <c r="D67" s="11">
        <v>10000</v>
      </c>
      <c r="E67" s="11">
        <v>10000</v>
      </c>
      <c r="F67" s="11">
        <v>10000</v>
      </c>
      <c r="G67" s="11">
        <v>10000</v>
      </c>
      <c r="H67" s="11">
        <v>10000</v>
      </c>
      <c r="I67" s="11" t="s">
        <v>157</v>
      </c>
      <c r="J67" s="17">
        <f t="shared" si="0"/>
        <v>20000</v>
      </c>
      <c r="K67" s="13">
        <f t="shared" si="1"/>
        <v>70000</v>
      </c>
    </row>
    <row r="68" spans="1:11" ht="20.100000000000001" customHeight="1" x14ac:dyDescent="0.3">
      <c r="A68" s="9" t="s">
        <v>66</v>
      </c>
      <c r="B68" s="7" t="s">
        <v>101</v>
      </c>
      <c r="C68" s="17" t="s">
        <v>157</v>
      </c>
      <c r="D68" s="11" t="s">
        <v>157</v>
      </c>
      <c r="E68" s="11" t="s">
        <v>157</v>
      </c>
      <c r="F68" s="11" t="s">
        <v>157</v>
      </c>
      <c r="G68" s="11" t="s">
        <v>157</v>
      </c>
      <c r="H68" s="11" t="s">
        <v>157</v>
      </c>
      <c r="I68" s="11" t="s">
        <v>157</v>
      </c>
      <c r="J68" s="17">
        <f t="shared" si="0"/>
        <v>70000</v>
      </c>
      <c r="K68" s="13">
        <f t="shared" si="1"/>
        <v>70000</v>
      </c>
    </row>
    <row r="69" spans="1:11" ht="20.100000000000001" customHeight="1" x14ac:dyDescent="0.3">
      <c r="A69" s="9" t="s">
        <v>67</v>
      </c>
      <c r="B69" s="7" t="s">
        <v>97</v>
      </c>
      <c r="C69" s="17" t="s">
        <v>157</v>
      </c>
      <c r="D69" s="11">
        <v>10000</v>
      </c>
      <c r="E69" s="11">
        <v>10000</v>
      </c>
      <c r="F69" s="11">
        <v>10000</v>
      </c>
      <c r="G69" s="11">
        <v>10000</v>
      </c>
      <c r="H69" s="11">
        <v>10000</v>
      </c>
      <c r="I69" s="11" t="s">
        <v>157</v>
      </c>
      <c r="J69" s="17">
        <f t="shared" ref="J69:J79" si="2">K69-SUM(C69:I69)</f>
        <v>20000</v>
      </c>
      <c r="K69" s="13">
        <f t="shared" ref="K69:K79" si="3">$K$2</f>
        <v>70000</v>
      </c>
    </row>
    <row r="70" spans="1:11" ht="20.100000000000001" customHeight="1" x14ac:dyDescent="0.3">
      <c r="A70" s="9" t="s">
        <v>68</v>
      </c>
      <c r="B70" s="7" t="s">
        <v>106</v>
      </c>
      <c r="C70" s="17" t="s">
        <v>157</v>
      </c>
      <c r="D70" s="11" t="s">
        <v>157</v>
      </c>
      <c r="E70" s="11" t="s">
        <v>157</v>
      </c>
      <c r="F70" s="11" t="s">
        <v>157</v>
      </c>
      <c r="G70" s="11" t="s">
        <v>157</v>
      </c>
      <c r="H70" s="11" t="s">
        <v>157</v>
      </c>
      <c r="I70" s="11" t="s">
        <v>157</v>
      </c>
      <c r="J70" s="17">
        <f t="shared" si="2"/>
        <v>70000</v>
      </c>
      <c r="K70" s="13">
        <f t="shared" si="3"/>
        <v>70000</v>
      </c>
    </row>
    <row r="71" spans="1:11" ht="20.100000000000001" customHeight="1" x14ac:dyDescent="0.3">
      <c r="A71" s="9" t="s">
        <v>69</v>
      </c>
      <c r="B71" s="7" t="s">
        <v>103</v>
      </c>
      <c r="C71" s="17" t="s">
        <v>157</v>
      </c>
      <c r="D71" s="11">
        <v>10000</v>
      </c>
      <c r="E71" s="11">
        <v>10000</v>
      </c>
      <c r="F71" s="11">
        <v>10000</v>
      </c>
      <c r="G71" s="11">
        <v>10000</v>
      </c>
      <c r="H71" s="11">
        <v>10000</v>
      </c>
      <c r="I71" s="11" t="s">
        <v>157</v>
      </c>
      <c r="J71" s="17">
        <f t="shared" si="2"/>
        <v>20000</v>
      </c>
      <c r="K71" s="13">
        <f t="shared" si="3"/>
        <v>70000</v>
      </c>
    </row>
    <row r="72" spans="1:11" ht="20.100000000000001" customHeight="1" x14ac:dyDescent="0.3">
      <c r="A72" s="9" t="s">
        <v>70</v>
      </c>
      <c r="B72" s="7" t="s">
        <v>105</v>
      </c>
      <c r="C72" s="17" t="s">
        <v>157</v>
      </c>
      <c r="D72" s="11" t="s">
        <v>157</v>
      </c>
      <c r="E72" s="11" t="s">
        <v>157</v>
      </c>
      <c r="F72" s="11" t="s">
        <v>157</v>
      </c>
      <c r="G72" s="11" t="s">
        <v>157</v>
      </c>
      <c r="H72" s="11" t="s">
        <v>157</v>
      </c>
      <c r="I72" s="11" t="s">
        <v>157</v>
      </c>
      <c r="J72" s="17">
        <f t="shared" si="2"/>
        <v>70000</v>
      </c>
      <c r="K72" s="13">
        <f t="shared" si="3"/>
        <v>70000</v>
      </c>
    </row>
    <row r="73" spans="1:11" ht="20.100000000000001" customHeight="1" x14ac:dyDescent="0.3">
      <c r="A73" s="9" t="s">
        <v>71</v>
      </c>
      <c r="B73" s="7" t="s">
        <v>98</v>
      </c>
      <c r="C73" s="17" t="s">
        <v>157</v>
      </c>
      <c r="D73" s="11" t="s">
        <v>157</v>
      </c>
      <c r="E73" s="11" t="s">
        <v>157</v>
      </c>
      <c r="F73" s="11" t="s">
        <v>157</v>
      </c>
      <c r="G73" s="11" t="s">
        <v>157</v>
      </c>
      <c r="H73" s="11" t="s">
        <v>157</v>
      </c>
      <c r="I73" s="11" t="s">
        <v>157</v>
      </c>
      <c r="J73" s="17">
        <f t="shared" si="2"/>
        <v>70000</v>
      </c>
      <c r="K73" s="13">
        <f t="shared" si="3"/>
        <v>70000</v>
      </c>
    </row>
    <row r="74" spans="1:11" ht="20.100000000000001" customHeight="1" x14ac:dyDescent="0.3">
      <c r="A74" s="3" t="s">
        <v>72</v>
      </c>
      <c r="B74" s="7" t="s">
        <v>99</v>
      </c>
      <c r="C74" s="17" t="s">
        <v>157</v>
      </c>
      <c r="D74" s="11" t="s">
        <v>157</v>
      </c>
      <c r="E74" s="11" t="s">
        <v>157</v>
      </c>
      <c r="F74" s="11" t="s">
        <v>157</v>
      </c>
      <c r="G74" s="11" t="s">
        <v>157</v>
      </c>
      <c r="H74" s="11" t="s">
        <v>157</v>
      </c>
      <c r="I74" s="11" t="s">
        <v>157</v>
      </c>
      <c r="J74" s="17">
        <f t="shared" si="2"/>
        <v>70000</v>
      </c>
      <c r="K74" s="13">
        <f t="shared" si="3"/>
        <v>70000</v>
      </c>
    </row>
    <row r="75" spans="1:11" ht="20.100000000000001" customHeight="1" x14ac:dyDescent="0.3">
      <c r="A75" s="3" t="s">
        <v>73</v>
      </c>
      <c r="B75" s="7" t="s">
        <v>107</v>
      </c>
      <c r="C75" s="10" t="e">
        <f>VLOOKUP($A75,#REF!,5,0)</f>
        <v>#REF!</v>
      </c>
      <c r="D75" s="12"/>
      <c r="E75" s="12"/>
      <c r="F75" s="12"/>
      <c r="G75" s="12"/>
      <c r="H75" s="12"/>
      <c r="I75" s="12"/>
      <c r="J75" s="17" t="e">
        <f t="shared" si="2"/>
        <v>#REF!</v>
      </c>
      <c r="K75" s="13">
        <f t="shared" si="3"/>
        <v>70000</v>
      </c>
    </row>
    <row r="76" spans="1:11" ht="20.100000000000001" customHeight="1" x14ac:dyDescent="0.3">
      <c r="A76" s="3" t="s">
        <v>74</v>
      </c>
      <c r="B76" s="7" t="s">
        <v>122</v>
      </c>
      <c r="C76" s="10" t="e">
        <f>VLOOKUP($A76,#REF!,5,0)</f>
        <v>#REF!</v>
      </c>
      <c r="D76" s="12"/>
      <c r="E76" s="12"/>
      <c r="F76" s="12"/>
      <c r="G76" s="12"/>
      <c r="H76" s="12"/>
      <c r="I76" s="12"/>
      <c r="J76" s="17" t="e">
        <f t="shared" si="2"/>
        <v>#REF!</v>
      </c>
      <c r="K76" s="13"/>
    </row>
    <row r="77" spans="1:11" ht="20.100000000000001" customHeight="1" x14ac:dyDescent="0.3">
      <c r="A77" s="3" t="s">
        <v>75</v>
      </c>
      <c r="B77" s="7" t="s">
        <v>122</v>
      </c>
      <c r="C77" s="10" t="e">
        <f>VLOOKUP($A77,#REF!,5,0)</f>
        <v>#REF!</v>
      </c>
      <c r="D77" s="12"/>
      <c r="E77" s="12"/>
      <c r="F77" s="12"/>
      <c r="G77" s="12"/>
      <c r="H77" s="12"/>
      <c r="I77" s="12"/>
      <c r="J77" s="17" t="e">
        <f t="shared" si="2"/>
        <v>#REF!</v>
      </c>
      <c r="K77" s="13"/>
    </row>
    <row r="78" spans="1:11" ht="20.100000000000001" customHeight="1" x14ac:dyDescent="0.3">
      <c r="A78" s="3" t="s">
        <v>76</v>
      </c>
      <c r="B78" s="7" t="s">
        <v>122</v>
      </c>
      <c r="C78" s="10" t="e">
        <f>VLOOKUP($A78,#REF!,5,0)</f>
        <v>#REF!</v>
      </c>
      <c r="D78" s="12"/>
      <c r="E78" s="12"/>
      <c r="F78" s="12"/>
      <c r="G78" s="12"/>
      <c r="H78" s="12"/>
      <c r="I78" s="12"/>
      <c r="J78" s="17" t="e">
        <f t="shared" si="2"/>
        <v>#REF!</v>
      </c>
      <c r="K78" s="13"/>
    </row>
    <row r="79" spans="1:11" ht="20.100000000000001" customHeight="1" x14ac:dyDescent="0.3">
      <c r="A79" s="3" t="s">
        <v>4</v>
      </c>
      <c r="B79" s="7" t="s">
        <v>110</v>
      </c>
      <c r="C79" s="10" t="e">
        <f>VLOOKUP($A79,#REF!,5,0)</f>
        <v>#REF!</v>
      </c>
      <c r="D79" s="12"/>
      <c r="E79" s="12"/>
      <c r="F79" s="12"/>
      <c r="G79" s="12"/>
      <c r="H79" s="12"/>
      <c r="I79" s="12"/>
      <c r="J79" s="17" t="e">
        <f t="shared" si="2"/>
        <v>#REF!</v>
      </c>
      <c r="K79" s="13"/>
    </row>
  </sheetData>
  <autoFilter ref="A3:K79" xr:uid="{AAFF7DE1-DCD9-4EF3-AE87-C7F11CF9B0CD}"/>
  <phoneticPr fontId="3" type="noConversion"/>
  <printOptions horizontalCentered="1"/>
  <pageMargins left="0.70866141732283472" right="0.39370078740157483" top="0.70866141732283472" bottom="0.70866141732283472" header="0.11811023622047245" footer="0"/>
  <pageSetup paperSize="9" scale="62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3</vt:i4>
      </vt:variant>
    </vt:vector>
  </HeadingPairs>
  <TitlesOfParts>
    <vt:vector size="4" baseType="lpstr">
      <vt:lpstr>회비내역</vt:lpstr>
      <vt:lpstr>회비내역!_FilterDatabase</vt:lpstr>
      <vt:lpstr>회비내역!Print_Area</vt:lpstr>
      <vt:lpstr>회비내역!Print_Titles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2026-07-04T15:41:04Z</dcterms:created>
  <dcterms:modified xsi:type="dcterms:W3CDTF">2026-07-15T17:18:22Z</dcterms:modified>
</cp:coreProperties>
</file>